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azh\Downloads\"/>
    </mc:Choice>
  </mc:AlternateContent>
  <xr:revisionPtr revIDLastSave="0" documentId="13_ncr:1_{90845225-9D9A-4F48-8304-5E73D5A7A69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0. Pengaturan &amp; Rekap" sheetId="1" r:id="rId1"/>
    <sheet name="1. Item Yang Dibeli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6" i="2" l="1"/>
  <c r="J36" i="2" s="1"/>
  <c r="H36" i="2" s="1"/>
  <c r="F36" i="2" s="1"/>
  <c r="G35" i="2"/>
  <c r="J35" i="2" s="1"/>
  <c r="H35" i="2" s="1"/>
  <c r="F35" i="2" s="1"/>
  <c r="G34" i="2"/>
  <c r="J34" i="2" s="1"/>
  <c r="F34" i="2"/>
  <c r="G33" i="2"/>
  <c r="J33" i="2" s="1"/>
  <c r="F33" i="2"/>
  <c r="G32" i="2"/>
  <c r="J32" i="2" s="1"/>
  <c r="F32" i="2"/>
  <c r="G31" i="2"/>
  <c r="J31" i="2" s="1"/>
  <c r="H31" i="2" s="1"/>
  <c r="F31" i="2" s="1"/>
  <c r="G30" i="2"/>
  <c r="J30" i="2" s="1"/>
  <c r="G29" i="2"/>
  <c r="J29" i="2" s="1"/>
  <c r="H29" i="2" s="1"/>
  <c r="F29" i="2" s="1"/>
  <c r="G28" i="2"/>
  <c r="J28" i="2" s="1"/>
  <c r="F28" i="2"/>
  <c r="G27" i="2"/>
  <c r="F27" i="2"/>
  <c r="G26" i="2"/>
  <c r="J26" i="2" s="1"/>
  <c r="F26" i="2"/>
  <c r="G25" i="2"/>
  <c r="F25" i="2"/>
  <c r="G24" i="2"/>
  <c r="J24" i="2" s="1"/>
  <c r="F24" i="2"/>
  <c r="G23" i="2"/>
  <c r="J23" i="2" s="1"/>
  <c r="F23" i="2"/>
  <c r="G22" i="2"/>
  <c r="J22" i="2" s="1"/>
  <c r="F22" i="2"/>
  <c r="G21" i="2"/>
  <c r="J21" i="2" s="1"/>
  <c r="F21" i="2"/>
  <c r="G20" i="2"/>
  <c r="J20" i="2" s="1"/>
  <c r="F20" i="2"/>
  <c r="G19" i="2"/>
  <c r="J19" i="2" s="1"/>
  <c r="F19" i="2"/>
  <c r="G18" i="2"/>
  <c r="J18" i="2" s="1"/>
  <c r="F18" i="2"/>
  <c r="G17" i="2"/>
  <c r="F17" i="2"/>
  <c r="G16" i="2"/>
  <c r="J16" i="2" s="1"/>
  <c r="F16" i="2"/>
  <c r="G15" i="2"/>
  <c r="J15" i="2" s="1"/>
  <c r="F15" i="2"/>
  <c r="G14" i="2"/>
  <c r="J14" i="2" s="1"/>
  <c r="F14" i="2"/>
  <c r="G13" i="2"/>
  <c r="F13" i="2"/>
  <c r="G12" i="2"/>
  <c r="J12" i="2" s="1"/>
  <c r="F12" i="2"/>
  <c r="G11" i="2"/>
  <c r="J11" i="2" s="1"/>
  <c r="F11" i="2"/>
  <c r="G10" i="2"/>
  <c r="J10" i="2" s="1"/>
  <c r="F10" i="2"/>
  <c r="G9" i="2"/>
  <c r="F9" i="2"/>
  <c r="G8" i="2"/>
  <c r="J8" i="2" s="1"/>
  <c r="F8" i="2"/>
  <c r="G7" i="2"/>
  <c r="J7" i="2" s="1"/>
  <c r="F7" i="2"/>
  <c r="G6" i="2"/>
  <c r="J6" i="2" s="1"/>
  <c r="F6" i="2"/>
  <c r="G5" i="2"/>
  <c r="F5" i="2"/>
  <c r="H30" i="2" l="1"/>
  <c r="F30" i="2" s="1"/>
  <c r="F37" i="2" s="1"/>
  <c r="H33" i="2"/>
  <c r="H27" i="2"/>
  <c r="H5" i="2"/>
  <c r="H9" i="2"/>
  <c r="H13" i="2"/>
  <c r="H17" i="2"/>
  <c r="H25" i="2"/>
  <c r="H7" i="2"/>
  <c r="H19" i="2"/>
  <c r="J5" i="2"/>
  <c r="J17" i="2"/>
  <c r="J25" i="2"/>
  <c r="J27" i="2"/>
  <c r="H11" i="2"/>
  <c r="H23" i="2"/>
  <c r="J9" i="2"/>
  <c r="J13" i="2"/>
  <c r="H34" i="2"/>
  <c r="H6" i="2"/>
  <c r="H8" i="2"/>
  <c r="H10" i="2"/>
  <c r="H12" i="2"/>
  <c r="H14" i="2"/>
  <c r="H16" i="2"/>
  <c r="H18" i="2"/>
  <c r="H20" i="2"/>
  <c r="H22" i="2"/>
  <c r="H24" i="2"/>
  <c r="H26" i="2"/>
  <c r="H28" i="2"/>
  <c r="H32" i="2"/>
  <c r="H15" i="2"/>
  <c r="H21" i="2"/>
  <c r="H37" i="2" l="1"/>
  <c r="B9" i="1" s="1"/>
  <c r="B12" i="1" s="1"/>
  <c r="B13" i="1" s="1"/>
  <c r="B16" i="1" s="1"/>
  <c r="B14" i="1" l="1"/>
</calcChain>
</file>

<file path=xl/sharedStrings.xml><?xml version="1.0" encoding="utf-8"?>
<sst xmlns="http://schemas.openxmlformats.org/spreadsheetml/2006/main" count="119" uniqueCount="78">
  <si>
    <t>PENGATURAN &amp; REKAP — OPSI 2: TANPA STARTER KIT (RAKIT SATUAN)</t>
  </si>
  <si>
    <t>Input Utama</t>
  </si>
  <si>
    <t>Jumlah Anak (Siswa)</t>
  </si>
  <si>
    <t>Batas Anggaran per Anak (Rp)</t>
  </si>
  <si>
    <t>Ringkasan Biaya (Otomatis)</t>
  </si>
  <si>
    <t>Total Biaya — 1. Item per Anak (Rp)</t>
  </si>
  <si>
    <t>TOTAL KESELURUHAN (Rp)</t>
  </si>
  <si>
    <t>Biaya Rata-rata per Anak (Rp)</t>
  </si>
  <si>
    <t>Selisih dari Batas Anggaran (Rp) [positif = masih di bawah batas]</t>
  </si>
  <si>
    <t>Status Anggaran</t>
  </si>
  <si>
    <t>Juga ditambahkan 1 Tool Box per anak supaya semua komponen kecil tidak tercecer</t>
  </si>
  <si>
    <t>1. ITEM PER ANAK — KOMPONEN SATUAN (TANPA STARTER KIT)</t>
  </si>
  <si>
    <t>No</t>
  </si>
  <si>
    <t>Nama Komponen</t>
  </si>
  <si>
    <t>Kategori</t>
  </si>
  <si>
    <t>Harga Satuan (Rp)</t>
  </si>
  <si>
    <t>Jumlah per Anak</t>
  </si>
  <si>
    <t>Biaya per Anak (Rp)</t>
  </si>
  <si>
    <t>Jumlah Anak</t>
  </si>
  <si>
    <t>Total Biaya (Rp)</t>
  </si>
  <si>
    <t>Toko / Link</t>
  </si>
  <si>
    <t>Jumlah Dibeli</t>
  </si>
  <si>
    <t>Arduino Uno R3 Compatible Atmega328p CH340</t>
  </si>
  <si>
    <t>Kit Dasar</t>
  </si>
  <si>
    <t>Starlectric</t>
  </si>
  <si>
    <t>Breadboard MB-102 Solderless 830 Titik</t>
  </si>
  <si>
    <t>CNC Store</t>
  </si>
  <si>
    <t>Sensor Ultrasonic HY-SRF05 (untuk Tong Sampah Otomatis, 3 unit)</t>
  </si>
  <si>
    <t>Sensor — 3 Proyek Utama</t>
  </si>
  <si>
    <t>IoT Store</t>
  </si>
  <si>
    <t>Motor Servo SG90 (Tong Sampah, Parkiran &amp; Pintu RFID — pengganti solenoid, 3 unit)</t>
  </si>
  <si>
    <t>Buzzer Speaker Active 5V (untuk Tong Sampah &amp; Pintu RFID)</t>
  </si>
  <si>
    <t>SUDAH SOLDER RC522 RFID Module (untuk Pintu Otomatis RFID)</t>
  </si>
  <si>
    <t>Art Techno</t>
  </si>
  <si>
    <t>Tempat Sampah Mini Dustbin Yoshikawa PI-1012</t>
  </si>
  <si>
    <t>Maket 1. Tong Sampah Otomatis</t>
  </si>
  <si>
    <t>Shopee</t>
  </si>
  <si>
    <t>Simulasi Palang Pintu Otomatis Gerbang Parkir (Servo, 2 unit)</t>
  </si>
  <si>
    <t>Maket 2. Parkiran Otomatis</t>
  </si>
  <si>
    <t>Diorama Diecast Hotwheels/Tomica Parking Lot Skala 64</t>
  </si>
  <si>
    <t>[HAGO] Mainan Mobil Diecast Pull Back Miniatur</t>
  </si>
  <si>
    <t>LCD 1602 16x2 I2C Serial Interface Adapter Module</t>
  </si>
  <si>
    <t xml:space="preserve"> Pengenalan </t>
  </si>
  <si>
    <t>Modul Sensor Cahaya LDR (proyek Lampu Otomatis)</t>
  </si>
  <si>
    <t>Sensor Pengenalan</t>
  </si>
  <si>
    <t>SNW Jaya</t>
  </si>
  <si>
    <t>Sensor Suhu DHT11 (proyek Monitoring Suhu)</t>
  </si>
  <si>
    <t>Soil Moisture Sensor (proyek Penyiram Tanaman)</t>
  </si>
  <si>
    <t>Sensor Air DS18B20 Waterproof</t>
  </si>
  <si>
    <t>CNC Store Bandung</t>
  </si>
  <si>
    <t>Rain Sensor Module / Hujan (proyek Jemuran Pintar)</t>
  </si>
  <si>
    <t>Sound Sensor Microphone (proyek Saklar Tepuk Tangan)</t>
  </si>
  <si>
    <t>Flame Sensor / Api (proyek Alarm Api &amp; Gas)</t>
  </si>
  <si>
    <t>Sensor MQ-2 Gas/Asap (proyek Alarm Api &amp; Gas)</t>
  </si>
  <si>
    <t>Sensor Getaran SW-420 (proyek Alarm Anti-Maling)</t>
  </si>
  <si>
    <t>Module Relay 5V 1 Channel (proyek Penyiram/Saklar Tepuk)</t>
  </si>
  <si>
    <t xml:space="preserve"> Pengenalan</t>
  </si>
  <si>
    <t>Relay LDR Sensor 2-in-1 (proyek Lampu Otomatis)</t>
  </si>
  <si>
    <t>Tool Box Besar ISKU 14 Inch (36x19x18cm) — supaya komponen tidak tercecer</t>
  </si>
  <si>
    <t>Penyimpanan</t>
  </si>
  <si>
    <t>PERKAKASKU.ID</t>
  </si>
  <si>
    <t>Kawat Stainless Steel 304 Soft 0.5mm 10 meter (Tong Sampah Otomatis, 1 gulung untuk 2 anak)</t>
  </si>
  <si>
    <t>Maket 1. Tong Sampah Otomatis (Massal, isi 1 gulung/paket)</t>
  </si>
  <si>
    <t>Paket Lampu LED 5mm 100pcs 5 Warna</t>
  </si>
  <si>
    <t>Komponen Umum (Massal, isi 100 pcs/paket)</t>
  </si>
  <si>
    <t>Muria Elektronik</t>
  </si>
  <si>
    <t>Paket 600pcs Resistor 1/4W (30 Nilai)</t>
  </si>
  <si>
    <t>Komponen Umum (Massal, isi 600 pcs/paket)</t>
  </si>
  <si>
    <t>Kabel Jumper Male to Male (isi 40 pin/pack)</t>
  </si>
  <si>
    <t>Komponen Umum (Massal, 1 paket per anak)</t>
  </si>
  <si>
    <t>jevon.elektronik</t>
  </si>
  <si>
    <t>Kabel Jumper Female to Female (isi 40 pin/pack)</t>
  </si>
  <si>
    <t>Kabel Jumper Male to Female (isi 40 pin/pack)</t>
  </si>
  <si>
    <t>Solder 60w + Timah 5m [ALAT BERSAMA, 1 set per 5 anak]</t>
  </si>
  <si>
    <t>Alat Bersama (Massal, 1 set per 5 anak)</t>
  </si>
  <si>
    <t>Lem Tembak 1 set + Stick Lem 10pcs [ALAT BERSAMA, 1 set per 5 anak]</t>
  </si>
  <si>
    <t>TOTAL — 1. Item per Anak</t>
  </si>
  <si>
    <t xml:space="preserve">Sensor Inframerah Obstacle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</si>
</sst>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1F4E78"/>
      <name val="Arial"/>
      <charset val="1"/>
    </font>
    <font>
      <b/>
      <sz val="11"/>
      <name val="Arial"/>
      <charset val="1"/>
    </font>
    <font>
      <b/>
      <sz val="12"/>
      <color rgb="FF0000FF"/>
      <name val="Arial"/>
      <charset val="1"/>
    </font>
    <font>
      <sz val="10"/>
      <name val="Arial"/>
      <charset val="1"/>
    </font>
    <font>
      <sz val="10"/>
      <color rgb="FF008000"/>
      <name val="Arial"/>
      <charset val="1"/>
    </font>
    <font>
      <i/>
      <sz val="9"/>
      <color rgb="FF7F7F7F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u/>
      <sz val="10"/>
      <color rgb="FF0563C1"/>
      <name val="Arial"/>
      <charset val="1"/>
    </font>
    <font>
      <i/>
      <sz val="10"/>
      <color rgb="FF9C650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u/>
      <sz val="11"/>
      <color theme="1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2F3"/>
        <bgColor rgb="FFBDD7EE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D9E2F3"/>
      </patternFill>
    </fill>
    <fill>
      <patternFill patternType="solid">
        <fgColor rgb="FF2E75B6"/>
        <bgColor rgb="FF0563C1"/>
      </patternFill>
    </fill>
    <fill>
      <patternFill patternType="solid">
        <fgColor theme="0"/>
        <bgColor rgb="FFFFFFCC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36">
    <xf numFmtId="0" fontId="0" fillId="0" borderId="0" xfId="0"/>
    <xf numFmtId="0" fontId="3" fillId="0" borderId="1" xfId="0" applyFont="1" applyBorder="1"/>
    <xf numFmtId="0" fontId="4" fillId="4" borderId="1" xfId="0" applyFont="1" applyFill="1" applyBorder="1" applyAlignment="1">
      <alignment horizontal="center"/>
    </xf>
    <xf numFmtId="3" fontId="4" fillId="4" borderId="1" xfId="0" applyNumberFormat="1" applyFont="1" applyFill="1" applyBorder="1" applyAlignment="1">
      <alignment horizontal="center"/>
    </xf>
    <xf numFmtId="0" fontId="5" fillId="0" borderId="1" xfId="0" applyFont="1" applyBorder="1"/>
    <xf numFmtId="3" fontId="6" fillId="0" borderId="1" xfId="0" applyNumberFormat="1" applyFont="1" applyBorder="1" applyAlignment="1">
      <alignment horizontal="right"/>
    </xf>
    <xf numFmtId="0" fontId="3" fillId="5" borderId="1" xfId="0" applyFont="1" applyFill="1" applyBorder="1"/>
    <xf numFmtId="3" fontId="3" fillId="5" borderId="1" xfId="0" applyNumberFormat="1" applyFont="1" applyFill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wrapText="1"/>
    </xf>
    <xf numFmtId="3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0" fillId="4" borderId="0" xfId="0" applyFill="1"/>
    <xf numFmtId="0" fontId="5" fillId="7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center" wrapText="1"/>
    </xf>
    <xf numFmtId="3" fontId="9" fillId="7" borderId="1" xfId="0" applyNumberFormat="1" applyFont="1" applyFill="1" applyBorder="1" applyAlignment="1">
      <alignment horizontal="right"/>
    </xf>
    <xf numFmtId="0" fontId="9" fillId="7" borderId="1" xfId="0" applyFont="1" applyFill="1" applyBorder="1" applyAlignment="1">
      <alignment horizontal="center"/>
    </xf>
    <xf numFmtId="3" fontId="5" fillId="7" borderId="1" xfId="0" applyNumberFormat="1" applyFont="1" applyFill="1" applyBorder="1" applyAlignment="1">
      <alignment horizontal="right"/>
    </xf>
    <xf numFmtId="0" fontId="6" fillId="7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3" fontId="13" fillId="5" borderId="1" xfId="0" applyNumberFormat="1" applyFont="1" applyFill="1" applyBorder="1" applyAlignment="1">
      <alignment horizontal="right"/>
    </xf>
    <xf numFmtId="0" fontId="0" fillId="5" borderId="1" xfId="0" applyFill="1" applyBorder="1"/>
    <xf numFmtId="0" fontId="14" fillId="0" borderId="1" xfId="1" applyBorder="1" applyAlignment="1">
      <alignment horizontal="center" wrapText="1"/>
    </xf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7" fillId="0" borderId="0" xfId="0" applyFont="1" applyAlignment="1">
      <alignment vertical="top" wrapText="1"/>
    </xf>
    <xf numFmtId="0" fontId="13" fillId="5" borderId="0" xfId="0" applyFont="1" applyFill="1" applyAlignment="1">
      <alignment horizontal="right" indent="1"/>
    </xf>
  </cellXfs>
  <cellStyles count="2">
    <cellStyle name="Hyperlink" xfId="1" builtinId="8"/>
    <cellStyle name="Normal" xfId="0" builtinId="0"/>
  </cellStyles>
  <dxfs count="4"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7B7B7"/>
      <rgbColor rgb="FF7F7F7F"/>
      <rgbColor rgb="FF9999FF"/>
      <rgbColor rgb="FF993366"/>
      <rgbColor rgb="FFFFFFCC"/>
      <rgbColor rgb="FFD9E2F3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61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hopee.co.id/YOSHIKAWA-TEMPAT-SAMPAH-MINI-DUSTBIN-DENGAN-TUTUP-SWING-PI-1012-i.388132121.17508135555" TargetMode="External"/><Relationship Id="rId13" Type="http://schemas.openxmlformats.org/officeDocument/2006/relationships/hyperlink" Target="https://shopee.co.id/Modul-Sensor-Cahaya-LDR-Photoresistor-photosensitive-Arduino-i.10630793.1839522049" TargetMode="External"/><Relationship Id="rId18" Type="http://schemas.openxmlformats.org/officeDocument/2006/relationships/hyperlink" Target="https://shopee.co.id/-SEN-0014-FC-04-FC04-SOUND-VOICE-WHISTLE-DETECTION-SENSOR-SUARA-MODULE-i.756938772.16164270810" TargetMode="External"/><Relationship Id="rId26" Type="http://schemas.openxmlformats.org/officeDocument/2006/relationships/hyperlink" Target="https://shopee.co.id/Paket-600PCS-Resistor-1-4W-1-Metal-Film-&#8211;-30-Nilai-Resistor-per-20PCS-untuk-Proyek-Elektronik-i.62956347.6017394007" TargetMode="External"/><Relationship Id="rId3" Type="http://schemas.openxmlformats.org/officeDocument/2006/relationships/hyperlink" Target="https://shopee.co.id/HY-SRF05-SRF05-ULTRASONIC-SENSOR-JARAK-5-PIN-MODULE-REPLACE-HC-SR04-i.1078675148.22182895987" TargetMode="External"/><Relationship Id="rId21" Type="http://schemas.openxmlformats.org/officeDocument/2006/relationships/hyperlink" Target="https://shopee.co.id/-SEN-0008-SW-420-SW420-VIBRATION-MOTION-SENSOR-GETAR-SWITCH-NC-MODULE-i.756938772.17568722969" TargetMode="External"/><Relationship Id="rId7" Type="http://schemas.openxmlformats.org/officeDocument/2006/relationships/hyperlink" Target="https://shopee.co.id/NEW-SUDAH-SOLDER-RC522-RC-522-RFID-MODULE-MODUL-i.3945646.26081392616" TargetMode="External"/><Relationship Id="rId12" Type="http://schemas.openxmlformats.org/officeDocument/2006/relationships/hyperlink" Target="https://shopee.co.id/LCD-1602-16X2-CHARACTER-GREEN-HIJAU-BACKLIGHT-I2C-SERIAL-INTERFACE-ADAPTER-MODULE-i.1078675148.23357320968" TargetMode="External"/><Relationship Id="rId17" Type="http://schemas.openxmlformats.org/officeDocument/2006/relationships/hyperlink" Target="https://shopee.co.id/-SEN-0007-RAINDROPS-RAIN-HUMIDITY-DETECTION-SENSOR-AIR-HUJAN-MODULE-i.756938772.20844916873" TargetMode="External"/><Relationship Id="rId25" Type="http://schemas.openxmlformats.org/officeDocument/2006/relationships/hyperlink" Target="https://shopee.co.id/PAKET-LAMPU-LED-5MM-100PCS-5-WARNA-i.52666748.3579728823" TargetMode="External"/><Relationship Id="rId2" Type="http://schemas.openxmlformats.org/officeDocument/2006/relationships/hyperlink" Target="https://shopee.co.id/-DEV-0002-BREADBOARD-MB-102-SOLDERLESS-830-830P-i.756938772.18601593629" TargetMode="External"/><Relationship Id="rId16" Type="http://schemas.openxmlformats.org/officeDocument/2006/relationships/hyperlink" Target="https://shopee.co.id/DS18B20-WATERPROOF-TEMPERATURE-SUHU-SENSOR-PROBE-UNO-NANO-MEGA-PROMICRO-MIKROKONTROLER-RASPBERRI-PI-i.62956347.6611139904" TargetMode="External"/><Relationship Id="rId20" Type="http://schemas.openxmlformats.org/officeDocument/2006/relationships/hyperlink" Target="https://shopee.co.id/-SEN-0013-MQ-2-MQ2-LPG-BUTANE-METHANE-GAS-SMOKE-SENSOR-MODULE-FOR-ARDUINO-i.756938772.20301406925" TargetMode="External"/><Relationship Id="rId29" Type="http://schemas.openxmlformats.org/officeDocument/2006/relationships/hyperlink" Target="https://shopee.co.id/Kabel-Jumper-40-p-pin-20-30-cm-Male-Female-M-to-F-40p-20cm-30cm-Jamper-i.388116715.24755537187" TargetMode="External"/><Relationship Id="rId1" Type="http://schemas.openxmlformats.org/officeDocument/2006/relationships/hyperlink" Target="https://shopee.co.id/Uno-R3-Arduino-Uno-Complatible-Atmega328p-CH340-dengan-Kabel-Cable-SMD-version-i.14183026.137750996" TargetMode="External"/><Relationship Id="rId6" Type="http://schemas.openxmlformats.org/officeDocument/2006/relationships/hyperlink" Target="https://shopee.co.id/-SEN-0018-INFRARED-BARRIER-OBSTACLE-SENSOR-HALANGAN-RINTANGAN-MODULE-i.756938772.15782385794" TargetMode="External"/><Relationship Id="rId11" Type="http://schemas.openxmlformats.org/officeDocument/2006/relationships/hyperlink" Target="https://shopee.co.id/-HAGO-Mainan-Anak-Mobil-Diecast-Pull-Back-Miniatur-i.1061656461.25758433911" TargetMode="External"/><Relationship Id="rId24" Type="http://schemas.openxmlformats.org/officeDocument/2006/relationships/hyperlink" Target="https://shopee.co.id/Kawat-Stainless-Steel-304-Soft-0.5-mm-10-meter-Lembut-Lunak-i.400629315.13801307013" TargetMode="External"/><Relationship Id="rId32" Type="http://schemas.openxmlformats.org/officeDocument/2006/relationships/hyperlink" Target="https://shopee.co.id/ISKU-Tool-Box-14-Inch-Ukuran-36*19*18cm-Tahan-Lama-Kotak-Perkakas-Toolbox-i.785478590.23740006386" TargetMode="External"/><Relationship Id="rId5" Type="http://schemas.openxmlformats.org/officeDocument/2006/relationships/hyperlink" Target="https://shopee.co.id/-PAS-0010-BUZZER-SPEAKER-ACTIVE-5V-FOR-ARDUINO-UNO-MEGA-MINI-NANO-i.756938772.17063890984" TargetMode="External"/><Relationship Id="rId15" Type="http://schemas.openxmlformats.org/officeDocument/2006/relationships/hyperlink" Target="https://shopee.co.id/-SEN-0011-SOIL-TANAH-HYGROMETER-HUMIDITY-MOISTURE-SENSOR-MODULE-i.756938772.15282835817" TargetMode="External"/><Relationship Id="rId23" Type="http://schemas.openxmlformats.org/officeDocument/2006/relationships/hyperlink" Target="https://shopee.co.id/RELAY-5V-LDR-LAMPU-OTOMATIS-MODULE-PHOTOSENSITIVE-RESISTANCE-LIGHT-DETECTION-i.62956347.12587201877" TargetMode="External"/><Relationship Id="rId28" Type="http://schemas.openxmlformats.org/officeDocument/2006/relationships/hyperlink" Target="https://shopee.co.id/Kabel-Jumper-40-p-pin-20-30-cm-Male-Female-M-to-F-40p-20cm-30cm-Jamper-i.388116715.24755537187" TargetMode="External"/><Relationship Id="rId10" Type="http://schemas.openxmlformats.org/officeDocument/2006/relationships/hyperlink" Target="https://shopee.co.id/Diorama-Diecast-Hotwheels-Tomica-Parking-Lot-Skala-64-i.278164232.23687152606" TargetMode="External"/><Relationship Id="rId19" Type="http://schemas.openxmlformats.org/officeDocument/2006/relationships/hyperlink" Target="https://shopee.co.id/-SEN-0024-4-Wire-Infrared-Ir-Flame-Sensor-Api-Module-For-Arduino-Uno-Mega-i.756938772.14384294718" TargetMode="External"/><Relationship Id="rId31" Type="http://schemas.openxmlformats.org/officeDocument/2006/relationships/hyperlink" Target="https://shopee.co.id/Lem-Tembak-1set-Stick-Lem-10pcs-Hot-Melt-Glue-Gun-10pcs-Lem-Stick-Lem-Aksesoris-Serbaguna-Lem-Kerajinan-i.16295828.1820082126" TargetMode="External"/><Relationship Id="rId4" Type="http://schemas.openxmlformats.org/officeDocument/2006/relationships/hyperlink" Target="https://shopee.co.id/-MTR-0024-TOWERPRO-MOTOR-SERVO-SG90-360DEG-360&#186;-SG-90-360-DERAJAT-DEGREE-i.756938772.27618734415" TargetMode="External"/><Relationship Id="rId9" Type="http://schemas.openxmlformats.org/officeDocument/2006/relationships/hyperlink" Target="https://shopee.co.id/Simulasi-palang-pintu-otomatis-gerbang-parkir-kereta-servo-Arduino-i.68993234.22125421918" TargetMode="External"/><Relationship Id="rId14" Type="http://schemas.openxmlformats.org/officeDocument/2006/relationships/hyperlink" Target="https://shopee.co.id/-SEN-0001A-DHT11-DHT-11-DHT-11-SENSOR-SUHU-DAN-KELEMBABAN-HUMIDITY-PLUS-KABEL-i.756938772.24467151388" TargetMode="External"/><Relationship Id="rId22" Type="http://schemas.openxmlformats.org/officeDocument/2006/relationships/hyperlink" Target="https://shopee.co.id/MODULE-RELAY-5V-1-CHANNEL-5V-KY-019-ACTIVE-HIGH-TRIGER-RELAY-1-CHANNEL-i.62956347.11401688266" TargetMode="External"/><Relationship Id="rId27" Type="http://schemas.openxmlformats.org/officeDocument/2006/relationships/hyperlink" Target="https://shopee.co.id/Kabel-Jumper-40-p-pin-20-30-cm-Male-Female-M-to-F-40p-20cm-30cm-Jamper-i.388116715.24755537187" TargetMode="External"/><Relationship Id="rId30" Type="http://schemas.openxmlformats.org/officeDocument/2006/relationships/hyperlink" Target="https://shopee.co.id/SOLDER-40w-Paket-Timah-PEMANAS-TEMBAGA-Soldering-Iron-40w-i.176555824.276548026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zoomScaleNormal="100" workbookViewId="0">
      <selection activeCell="L9" sqref="L9"/>
    </sheetView>
  </sheetViews>
  <sheetFormatPr defaultColWidth="8.7109375" defaultRowHeight="15" x14ac:dyDescent="0.25"/>
  <cols>
    <col min="1" max="1" width="46" customWidth="1"/>
    <col min="2" max="2" width="54" customWidth="1"/>
    <col min="3" max="9" width="4" customWidth="1"/>
  </cols>
  <sheetData>
    <row r="1" spans="1:2" ht="25.5" customHeight="1" x14ac:dyDescent="0.25">
      <c r="A1" s="32" t="s">
        <v>0</v>
      </c>
      <c r="B1" s="32"/>
    </row>
    <row r="3" spans="1:2" ht="54.75" customHeight="1" x14ac:dyDescent="0.25"/>
    <row r="4" spans="1:2" x14ac:dyDescent="0.25">
      <c r="A4" s="33" t="s">
        <v>1</v>
      </c>
      <c r="B4" s="33"/>
    </row>
    <row r="5" spans="1:2" ht="15.75" customHeight="1" x14ac:dyDescent="0.25">
      <c r="A5" s="1" t="s">
        <v>2</v>
      </c>
      <c r="B5" s="2">
        <v>25</v>
      </c>
    </row>
    <row r="6" spans="1:2" ht="15.75" customHeight="1" x14ac:dyDescent="0.25">
      <c r="A6" s="1" t="s">
        <v>3</v>
      </c>
      <c r="B6" s="3">
        <v>550000</v>
      </c>
    </row>
    <row r="8" spans="1:2" x14ac:dyDescent="0.25">
      <c r="A8" s="33" t="s">
        <v>4</v>
      </c>
      <c r="B8" s="33"/>
    </row>
    <row r="9" spans="1:2" x14ac:dyDescent="0.25">
      <c r="A9" s="4" t="s">
        <v>5</v>
      </c>
      <c r="B9" s="5">
        <f>'1. Item Yang Dibeli'!H37</f>
        <v>12427150</v>
      </c>
    </row>
    <row r="10" spans="1:2" x14ac:dyDescent="0.25">
      <c r="A10" s="4"/>
      <c r="B10" s="5"/>
    </row>
    <row r="12" spans="1:2" x14ac:dyDescent="0.25">
      <c r="A12" s="6" t="s">
        <v>6</v>
      </c>
      <c r="B12" s="7">
        <f>B9</f>
        <v>12427150</v>
      </c>
    </row>
    <row r="13" spans="1:2" x14ac:dyDescent="0.25">
      <c r="A13" s="6" t="s">
        <v>7</v>
      </c>
      <c r="B13" s="7">
        <f>B12/B5</f>
        <v>497086</v>
      </c>
    </row>
    <row r="14" spans="1:2" x14ac:dyDescent="0.25">
      <c r="A14" s="4" t="s">
        <v>8</v>
      </c>
      <c r="B14" s="8">
        <f>B6-B13</f>
        <v>52914</v>
      </c>
    </row>
    <row r="16" spans="1:2" ht="30" customHeight="1" x14ac:dyDescent="0.25">
      <c r="A16" s="1" t="s">
        <v>9</v>
      </c>
      <c r="B16" s="9" t="str">
        <f>IF(B13&lt;=B6,"OK - SESUAI ANGGARAN","MELEBIHI ANGGARAN")</f>
        <v>OK - SESUAI ANGGARAN</v>
      </c>
    </row>
    <row r="18" spans="1:2" ht="15" customHeight="1" x14ac:dyDescent="0.25">
      <c r="A18" s="34" t="s">
        <v>10</v>
      </c>
      <c r="B18" s="34"/>
    </row>
    <row r="19" spans="1:2" ht="28.5" customHeight="1" x14ac:dyDescent="0.25"/>
    <row r="20" spans="1:2" ht="45" customHeight="1" x14ac:dyDescent="0.25">
      <c r="A20" s="34"/>
      <c r="B20" s="34"/>
    </row>
    <row r="21" spans="1:2" ht="48" customHeight="1" x14ac:dyDescent="0.25"/>
    <row r="22" spans="1:2" ht="21.75" customHeight="1" x14ac:dyDescent="0.25"/>
    <row r="25" spans="1:2" ht="39.75" customHeight="1" x14ac:dyDescent="0.25"/>
  </sheetData>
  <mergeCells count="5">
    <mergeCell ref="A1:B1"/>
    <mergeCell ref="A4:B4"/>
    <mergeCell ref="A8:B8"/>
    <mergeCell ref="A18:B18"/>
    <mergeCell ref="A20:B20"/>
  </mergeCells>
  <conditionalFormatting sqref="B13">
    <cfRule type="cellIs" dxfId="3" priority="2" operator="lessThanOrEqual">
      <formula>$B$6</formula>
    </cfRule>
    <cfRule type="cellIs" dxfId="2" priority="3" operator="greaterThan">
      <formula>$B$6</formula>
    </cfRule>
  </conditionalFormatting>
  <conditionalFormatting sqref="B16">
    <cfRule type="cellIs" dxfId="1" priority="4" operator="equal">
      <formula>"MELEBIHI ANGGARAN"</formula>
    </cfRule>
    <cfRule type="cellIs" dxfId="0" priority="5" operator="equal">
      <formula>"OK - SESUAI ANGGARAN"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topLeftCell="A20" zoomScaleNormal="100" workbookViewId="0">
      <selection activeCell="B13" sqref="B13"/>
    </sheetView>
  </sheetViews>
  <sheetFormatPr defaultColWidth="8.7109375" defaultRowHeight="15" x14ac:dyDescent="0.25"/>
  <cols>
    <col min="1" max="1" width="5" customWidth="1"/>
    <col min="2" max="2" width="42" customWidth="1"/>
    <col min="3" max="3" width="24" customWidth="1"/>
    <col min="4" max="4" width="14" customWidth="1"/>
    <col min="5" max="5" width="12" customWidth="1"/>
    <col min="6" max="6" width="14" customWidth="1"/>
    <col min="7" max="8" width="18" customWidth="1"/>
    <col min="9" max="9" width="12" customWidth="1"/>
  </cols>
  <sheetData>
    <row r="1" spans="1:10" ht="25.5" customHeight="1" x14ac:dyDescent="0.25">
      <c r="A1" s="32" t="s">
        <v>11</v>
      </c>
      <c r="B1" s="32"/>
      <c r="C1" s="32"/>
      <c r="D1" s="32"/>
      <c r="E1" s="32"/>
      <c r="F1" s="32"/>
      <c r="G1" s="32"/>
      <c r="H1" s="32"/>
      <c r="I1" s="32"/>
    </row>
    <row r="3" spans="1:10" ht="39.75" customHeight="1" x14ac:dyDescent="0.25"/>
    <row r="4" spans="1:10" ht="25.5" x14ac:dyDescent="0.25">
      <c r="A4" s="10" t="s">
        <v>12</v>
      </c>
      <c r="B4" s="10" t="s">
        <v>13</v>
      </c>
      <c r="C4" s="10" t="s">
        <v>14</v>
      </c>
      <c r="D4" s="10" t="s">
        <v>15</v>
      </c>
      <c r="E4" s="10" t="s">
        <v>16</v>
      </c>
      <c r="F4" s="10" t="s">
        <v>17</v>
      </c>
      <c r="G4" s="10" t="s">
        <v>18</v>
      </c>
      <c r="H4" s="10" t="s">
        <v>19</v>
      </c>
      <c r="I4" s="10" t="s">
        <v>20</v>
      </c>
      <c r="J4" s="11" t="s">
        <v>21</v>
      </c>
    </row>
    <row r="5" spans="1:10" ht="25.5" customHeight="1" x14ac:dyDescent="0.25">
      <c r="A5" s="12">
        <v>1</v>
      </c>
      <c r="B5" s="13" t="s">
        <v>22</v>
      </c>
      <c r="C5" s="14" t="s">
        <v>23</v>
      </c>
      <c r="D5" s="15">
        <v>57500</v>
      </c>
      <c r="E5" s="16">
        <v>1</v>
      </c>
      <c r="F5" s="8">
        <f t="shared" ref="F5:F28" si="0">D5*E5</f>
        <v>57500</v>
      </c>
      <c r="G5" s="17">
        <f>'0. Pengaturan &amp; Rekap'!$B$5</f>
        <v>25</v>
      </c>
      <c r="H5" s="8">
        <f t="shared" ref="H5:H28" si="1">F5*G5</f>
        <v>1437500</v>
      </c>
      <c r="I5" s="18" t="s">
        <v>24</v>
      </c>
      <c r="J5" s="19">
        <f t="shared" ref="J5:J28" si="2">G5*E5</f>
        <v>25</v>
      </c>
    </row>
    <row r="6" spans="1:10" x14ac:dyDescent="0.25">
      <c r="A6" s="12">
        <v>2</v>
      </c>
      <c r="B6" s="13" t="s">
        <v>25</v>
      </c>
      <c r="C6" s="14" t="s">
        <v>23</v>
      </c>
      <c r="D6" s="15">
        <v>10500</v>
      </c>
      <c r="E6" s="16">
        <v>1</v>
      </c>
      <c r="F6" s="8">
        <f t="shared" si="0"/>
        <v>10500</v>
      </c>
      <c r="G6" s="17">
        <f>'0. Pengaturan &amp; Rekap'!$B$5</f>
        <v>25</v>
      </c>
      <c r="H6" s="8">
        <f t="shared" si="1"/>
        <v>262500</v>
      </c>
      <c r="I6" s="18" t="s">
        <v>26</v>
      </c>
      <c r="J6" s="19">
        <f t="shared" si="2"/>
        <v>25</v>
      </c>
    </row>
    <row r="7" spans="1:10" ht="25.5" x14ac:dyDescent="0.25">
      <c r="A7" s="12">
        <v>3</v>
      </c>
      <c r="B7" s="13" t="s">
        <v>27</v>
      </c>
      <c r="C7" s="14" t="s">
        <v>28</v>
      </c>
      <c r="D7" s="15">
        <v>15000</v>
      </c>
      <c r="E7" s="16">
        <v>3</v>
      </c>
      <c r="F7" s="8">
        <f t="shared" si="0"/>
        <v>45000</v>
      </c>
      <c r="G7" s="17">
        <f>'0. Pengaturan &amp; Rekap'!$B$5</f>
        <v>25</v>
      </c>
      <c r="H7" s="8">
        <f t="shared" si="1"/>
        <v>1125000</v>
      </c>
      <c r="I7" s="18" t="s">
        <v>29</v>
      </c>
      <c r="J7" s="19">
        <f t="shared" si="2"/>
        <v>75</v>
      </c>
    </row>
    <row r="8" spans="1:10" ht="25.5" customHeight="1" x14ac:dyDescent="0.25">
      <c r="A8" s="12">
        <v>4</v>
      </c>
      <c r="B8" s="13" t="s">
        <v>30</v>
      </c>
      <c r="C8" s="14" t="s">
        <v>28</v>
      </c>
      <c r="D8" s="15">
        <v>5600</v>
      </c>
      <c r="E8" s="16">
        <v>3</v>
      </c>
      <c r="F8" s="8">
        <f t="shared" si="0"/>
        <v>16800</v>
      </c>
      <c r="G8" s="17">
        <f>'0. Pengaturan &amp; Rekap'!$B$5</f>
        <v>25</v>
      </c>
      <c r="H8" s="8">
        <f t="shared" si="1"/>
        <v>420000</v>
      </c>
      <c r="I8" s="18" t="s">
        <v>26</v>
      </c>
      <c r="J8" s="19">
        <f t="shared" si="2"/>
        <v>75</v>
      </c>
    </row>
    <row r="9" spans="1:10" ht="25.5" customHeight="1" x14ac:dyDescent="0.25">
      <c r="A9" s="12">
        <v>5</v>
      </c>
      <c r="B9" s="13" t="s">
        <v>31</v>
      </c>
      <c r="C9" s="14" t="s">
        <v>28</v>
      </c>
      <c r="D9" s="15">
        <v>1700</v>
      </c>
      <c r="E9" s="16">
        <v>2</v>
      </c>
      <c r="F9" s="8">
        <f t="shared" si="0"/>
        <v>3400</v>
      </c>
      <c r="G9" s="17">
        <f>'0. Pengaturan &amp; Rekap'!$B$5</f>
        <v>25</v>
      </c>
      <c r="H9" s="8">
        <f t="shared" si="1"/>
        <v>85000</v>
      </c>
      <c r="I9" s="18" t="s">
        <v>26</v>
      </c>
      <c r="J9" s="19">
        <f t="shared" si="2"/>
        <v>50</v>
      </c>
    </row>
    <row r="10" spans="1:10" ht="25.5" customHeight="1" x14ac:dyDescent="0.25">
      <c r="A10" s="12">
        <v>6</v>
      </c>
      <c r="B10" s="13" t="s">
        <v>77</v>
      </c>
      <c r="C10" s="14" t="s">
        <v>28</v>
      </c>
      <c r="D10" s="15">
        <v>5600</v>
      </c>
      <c r="E10" s="16">
        <v>1</v>
      </c>
      <c r="F10" s="8">
        <f t="shared" si="0"/>
        <v>5600</v>
      </c>
      <c r="G10" s="17">
        <f>'0. Pengaturan &amp; Rekap'!$B$5</f>
        <v>25</v>
      </c>
      <c r="H10" s="8">
        <f t="shared" si="1"/>
        <v>140000</v>
      </c>
      <c r="I10" s="18" t="s">
        <v>26</v>
      </c>
      <c r="J10" s="19">
        <f t="shared" si="2"/>
        <v>25</v>
      </c>
    </row>
    <row r="11" spans="1:10" ht="25.5" customHeight="1" x14ac:dyDescent="0.25">
      <c r="A11" s="12">
        <v>7</v>
      </c>
      <c r="B11" s="13" t="s">
        <v>32</v>
      </c>
      <c r="C11" s="14" t="s">
        <v>28</v>
      </c>
      <c r="D11" s="15">
        <v>17546</v>
      </c>
      <c r="E11" s="16">
        <v>1</v>
      </c>
      <c r="F11" s="8">
        <f t="shared" si="0"/>
        <v>17546</v>
      </c>
      <c r="G11" s="17">
        <f>'0. Pengaturan &amp; Rekap'!$B$5</f>
        <v>25</v>
      </c>
      <c r="H11" s="8">
        <f t="shared" si="1"/>
        <v>438650</v>
      </c>
      <c r="I11" s="18" t="s">
        <v>33</v>
      </c>
      <c r="J11" s="19">
        <f t="shared" si="2"/>
        <v>25</v>
      </c>
    </row>
    <row r="12" spans="1:10" ht="25.5" customHeight="1" x14ac:dyDescent="0.25">
      <c r="A12" s="12">
        <v>8</v>
      </c>
      <c r="B12" s="13" t="s">
        <v>34</v>
      </c>
      <c r="C12" s="14" t="s">
        <v>35</v>
      </c>
      <c r="D12" s="15">
        <v>23000</v>
      </c>
      <c r="E12" s="16">
        <v>1</v>
      </c>
      <c r="F12" s="8">
        <f t="shared" si="0"/>
        <v>23000</v>
      </c>
      <c r="G12" s="17">
        <f>'0. Pengaturan &amp; Rekap'!$B$5</f>
        <v>25</v>
      </c>
      <c r="H12" s="8">
        <f t="shared" si="1"/>
        <v>575000</v>
      </c>
      <c r="I12" s="18" t="s">
        <v>36</v>
      </c>
      <c r="J12" s="19">
        <f t="shared" si="2"/>
        <v>25</v>
      </c>
    </row>
    <row r="13" spans="1:10" ht="26.25" customHeight="1" x14ac:dyDescent="0.25">
      <c r="A13" s="12">
        <v>9</v>
      </c>
      <c r="B13" s="13" t="s">
        <v>37</v>
      </c>
      <c r="C13" s="14" t="s">
        <v>38</v>
      </c>
      <c r="D13" s="15">
        <v>13600</v>
      </c>
      <c r="E13" s="16">
        <v>2</v>
      </c>
      <c r="F13" s="8">
        <f t="shared" si="0"/>
        <v>27200</v>
      </c>
      <c r="G13" s="17">
        <f>'0. Pengaturan &amp; Rekap'!$B$5</f>
        <v>25</v>
      </c>
      <c r="H13" s="8">
        <f t="shared" si="1"/>
        <v>680000</v>
      </c>
      <c r="I13" s="18" t="s">
        <v>36</v>
      </c>
      <c r="J13" s="19">
        <f t="shared" si="2"/>
        <v>50</v>
      </c>
    </row>
    <row r="14" spans="1:10" ht="26.25" customHeight="1" x14ac:dyDescent="0.25">
      <c r="A14" s="12">
        <v>10</v>
      </c>
      <c r="B14" s="13" t="s">
        <v>39</v>
      </c>
      <c r="C14" s="14" t="s">
        <v>38</v>
      </c>
      <c r="D14" s="15">
        <v>25000</v>
      </c>
      <c r="E14" s="16">
        <v>1</v>
      </c>
      <c r="F14" s="8">
        <f t="shared" si="0"/>
        <v>25000</v>
      </c>
      <c r="G14" s="17">
        <f>'0. Pengaturan &amp; Rekap'!$B$5</f>
        <v>25</v>
      </c>
      <c r="H14" s="8">
        <f t="shared" si="1"/>
        <v>625000</v>
      </c>
      <c r="I14" s="18" t="s">
        <v>36</v>
      </c>
      <c r="J14" s="19">
        <f t="shared" si="2"/>
        <v>25</v>
      </c>
    </row>
    <row r="15" spans="1:10" ht="26.25" customHeight="1" x14ac:dyDescent="0.25">
      <c r="A15" s="12">
        <v>11</v>
      </c>
      <c r="B15" s="13" t="s">
        <v>40</v>
      </c>
      <c r="C15" s="14" t="s">
        <v>38</v>
      </c>
      <c r="D15" s="15">
        <v>1500</v>
      </c>
      <c r="E15" s="16">
        <v>3</v>
      </c>
      <c r="F15" s="8">
        <f t="shared" si="0"/>
        <v>4500</v>
      </c>
      <c r="G15" s="17">
        <f>'0. Pengaturan &amp; Rekap'!$B$5</f>
        <v>25</v>
      </c>
      <c r="H15" s="8">
        <f t="shared" si="1"/>
        <v>112500</v>
      </c>
      <c r="I15" s="18" t="s">
        <v>36</v>
      </c>
      <c r="J15" s="19">
        <f t="shared" si="2"/>
        <v>75</v>
      </c>
    </row>
    <row r="16" spans="1:10" ht="26.25" customHeight="1" x14ac:dyDescent="0.25">
      <c r="A16" s="20">
        <v>12</v>
      </c>
      <c r="B16" s="21" t="s">
        <v>41</v>
      </c>
      <c r="C16" s="22" t="s">
        <v>42</v>
      </c>
      <c r="D16" s="23">
        <v>23900</v>
      </c>
      <c r="E16" s="24">
        <v>1</v>
      </c>
      <c r="F16" s="25">
        <f t="shared" si="0"/>
        <v>23900</v>
      </c>
      <c r="G16" s="26">
        <f>'0. Pengaturan &amp; Rekap'!$B$5</f>
        <v>25</v>
      </c>
      <c r="H16" s="25">
        <f t="shared" si="1"/>
        <v>597500</v>
      </c>
      <c r="I16" s="27" t="s">
        <v>29</v>
      </c>
      <c r="J16" s="19">
        <f t="shared" si="2"/>
        <v>25</v>
      </c>
    </row>
    <row r="17" spans="1:10" ht="25.5" customHeight="1" x14ac:dyDescent="0.25">
      <c r="A17" s="20">
        <v>13</v>
      </c>
      <c r="B17" s="21" t="s">
        <v>43</v>
      </c>
      <c r="C17" s="22" t="s">
        <v>44</v>
      </c>
      <c r="D17" s="23">
        <v>4690</v>
      </c>
      <c r="E17" s="24">
        <v>1</v>
      </c>
      <c r="F17" s="25">
        <f t="shared" si="0"/>
        <v>4690</v>
      </c>
      <c r="G17" s="26">
        <f>'0. Pengaturan &amp; Rekap'!$B$5</f>
        <v>25</v>
      </c>
      <c r="H17" s="25">
        <f t="shared" si="1"/>
        <v>117250</v>
      </c>
      <c r="I17" s="27" t="s">
        <v>45</v>
      </c>
      <c r="J17" s="19">
        <f t="shared" si="2"/>
        <v>25</v>
      </c>
    </row>
    <row r="18" spans="1:10" ht="25.5" customHeight="1" x14ac:dyDescent="0.25">
      <c r="A18" s="20">
        <v>14</v>
      </c>
      <c r="B18" s="21" t="s">
        <v>46</v>
      </c>
      <c r="C18" s="22" t="s">
        <v>44</v>
      </c>
      <c r="D18" s="23">
        <v>9500</v>
      </c>
      <c r="E18" s="24">
        <v>1</v>
      </c>
      <c r="F18" s="25">
        <f t="shared" si="0"/>
        <v>9500</v>
      </c>
      <c r="G18" s="26">
        <f>'0. Pengaturan &amp; Rekap'!$B$5</f>
        <v>25</v>
      </c>
      <c r="H18" s="25">
        <f t="shared" si="1"/>
        <v>237500</v>
      </c>
      <c r="I18" s="27" t="s">
        <v>26</v>
      </c>
      <c r="J18" s="19">
        <f t="shared" si="2"/>
        <v>25</v>
      </c>
    </row>
    <row r="19" spans="1:10" ht="25.5" x14ac:dyDescent="0.25">
      <c r="A19" s="20">
        <v>15</v>
      </c>
      <c r="B19" s="21" t="s">
        <v>47</v>
      </c>
      <c r="C19" s="22" t="s">
        <v>44</v>
      </c>
      <c r="D19" s="23">
        <v>7000</v>
      </c>
      <c r="E19" s="24">
        <v>1</v>
      </c>
      <c r="F19" s="25">
        <f t="shared" si="0"/>
        <v>7000</v>
      </c>
      <c r="G19" s="26">
        <f>'0. Pengaturan &amp; Rekap'!$B$5</f>
        <v>25</v>
      </c>
      <c r="H19" s="25">
        <f t="shared" si="1"/>
        <v>175000</v>
      </c>
      <c r="I19" s="27" t="s">
        <v>26</v>
      </c>
      <c r="J19" s="19">
        <f t="shared" si="2"/>
        <v>25</v>
      </c>
    </row>
    <row r="20" spans="1:10" ht="25.5" customHeight="1" x14ac:dyDescent="0.25">
      <c r="A20" s="20">
        <v>16</v>
      </c>
      <c r="B20" s="21" t="s">
        <v>48</v>
      </c>
      <c r="C20" s="22" t="s">
        <v>44</v>
      </c>
      <c r="D20" s="23">
        <v>16500</v>
      </c>
      <c r="E20" s="24">
        <v>1</v>
      </c>
      <c r="F20" s="25">
        <f t="shared" si="0"/>
        <v>16500</v>
      </c>
      <c r="G20" s="26">
        <f>'0. Pengaturan &amp; Rekap'!$B$5</f>
        <v>25</v>
      </c>
      <c r="H20" s="25">
        <f t="shared" si="1"/>
        <v>412500</v>
      </c>
      <c r="I20" s="27" t="s">
        <v>49</v>
      </c>
      <c r="J20" s="19">
        <f t="shared" si="2"/>
        <v>25</v>
      </c>
    </row>
    <row r="21" spans="1:10" ht="26.25" customHeight="1" x14ac:dyDescent="0.25">
      <c r="A21" s="20">
        <v>17</v>
      </c>
      <c r="B21" s="21" t="s">
        <v>50</v>
      </c>
      <c r="C21" s="22" t="s">
        <v>44</v>
      </c>
      <c r="D21" s="23">
        <v>10000</v>
      </c>
      <c r="E21" s="24">
        <v>1</v>
      </c>
      <c r="F21" s="25">
        <f t="shared" si="0"/>
        <v>10000</v>
      </c>
      <c r="G21" s="26">
        <f>'0. Pengaturan &amp; Rekap'!$B$5</f>
        <v>25</v>
      </c>
      <c r="H21" s="25">
        <f t="shared" si="1"/>
        <v>250000</v>
      </c>
      <c r="I21" s="27" t="s">
        <v>26</v>
      </c>
      <c r="J21" s="19">
        <f t="shared" si="2"/>
        <v>25</v>
      </c>
    </row>
    <row r="22" spans="1:10" ht="25.5" customHeight="1" x14ac:dyDescent="0.25">
      <c r="A22" s="20">
        <v>18</v>
      </c>
      <c r="B22" s="21" t="s">
        <v>51</v>
      </c>
      <c r="C22" s="22" t="s">
        <v>44</v>
      </c>
      <c r="D22" s="23">
        <v>5600</v>
      </c>
      <c r="E22" s="24">
        <v>1</v>
      </c>
      <c r="F22" s="25">
        <f t="shared" si="0"/>
        <v>5600</v>
      </c>
      <c r="G22" s="26">
        <f>'0. Pengaturan &amp; Rekap'!$B$5</f>
        <v>25</v>
      </c>
      <c r="H22" s="25">
        <f t="shared" si="1"/>
        <v>140000</v>
      </c>
      <c r="I22" s="27" t="s">
        <v>26</v>
      </c>
      <c r="J22" s="19">
        <f t="shared" si="2"/>
        <v>25</v>
      </c>
    </row>
    <row r="23" spans="1:10" ht="25.5" customHeight="1" x14ac:dyDescent="0.25">
      <c r="A23" s="20">
        <v>19</v>
      </c>
      <c r="B23" s="21" t="s">
        <v>52</v>
      </c>
      <c r="C23" s="22" t="s">
        <v>44</v>
      </c>
      <c r="D23" s="23">
        <v>6000</v>
      </c>
      <c r="E23" s="24">
        <v>1</v>
      </c>
      <c r="F23" s="25">
        <f t="shared" si="0"/>
        <v>6000</v>
      </c>
      <c r="G23" s="26">
        <f>'0. Pengaturan &amp; Rekap'!$B$5</f>
        <v>25</v>
      </c>
      <c r="H23" s="25">
        <f t="shared" si="1"/>
        <v>150000</v>
      </c>
      <c r="I23" s="27" t="s">
        <v>26</v>
      </c>
      <c r="J23" s="19">
        <f t="shared" si="2"/>
        <v>25</v>
      </c>
    </row>
    <row r="24" spans="1:10" ht="25.5" x14ac:dyDescent="0.25">
      <c r="A24" s="20">
        <v>20</v>
      </c>
      <c r="B24" s="21" t="s">
        <v>53</v>
      </c>
      <c r="C24" s="22" t="s">
        <v>44</v>
      </c>
      <c r="D24" s="23">
        <v>18000</v>
      </c>
      <c r="E24" s="24">
        <v>1</v>
      </c>
      <c r="F24" s="25">
        <f t="shared" si="0"/>
        <v>18000</v>
      </c>
      <c r="G24" s="26">
        <f>'0. Pengaturan &amp; Rekap'!$B$5</f>
        <v>25</v>
      </c>
      <c r="H24" s="25">
        <f t="shared" si="1"/>
        <v>450000</v>
      </c>
      <c r="I24" s="27" t="s">
        <v>26</v>
      </c>
      <c r="J24" s="19">
        <f t="shared" si="2"/>
        <v>25</v>
      </c>
    </row>
    <row r="25" spans="1:10" ht="25.5" customHeight="1" x14ac:dyDescent="0.25">
      <c r="A25" s="20">
        <v>21</v>
      </c>
      <c r="B25" s="21" t="s">
        <v>54</v>
      </c>
      <c r="C25" s="22" t="s">
        <v>44</v>
      </c>
      <c r="D25" s="23">
        <v>5600</v>
      </c>
      <c r="E25" s="24">
        <v>1</v>
      </c>
      <c r="F25" s="25">
        <f t="shared" si="0"/>
        <v>5600</v>
      </c>
      <c r="G25" s="26">
        <f>'0. Pengaturan &amp; Rekap'!$B$5</f>
        <v>25</v>
      </c>
      <c r="H25" s="25">
        <f t="shared" si="1"/>
        <v>140000</v>
      </c>
      <c r="I25" s="27" t="s">
        <v>26</v>
      </c>
      <c r="J25" s="19">
        <f t="shared" si="2"/>
        <v>25</v>
      </c>
    </row>
    <row r="26" spans="1:10" ht="25.5" customHeight="1" x14ac:dyDescent="0.25">
      <c r="A26" s="20">
        <v>22</v>
      </c>
      <c r="B26" s="21" t="s">
        <v>55</v>
      </c>
      <c r="C26" s="22" t="s">
        <v>56</v>
      </c>
      <c r="D26" s="23">
        <v>11000</v>
      </c>
      <c r="E26" s="24">
        <v>1</v>
      </c>
      <c r="F26" s="25">
        <f t="shared" si="0"/>
        <v>11000</v>
      </c>
      <c r="G26" s="26">
        <f>'0. Pengaturan &amp; Rekap'!$B$5</f>
        <v>25</v>
      </c>
      <c r="H26" s="25">
        <f t="shared" si="1"/>
        <v>275000</v>
      </c>
      <c r="I26" s="27" t="s">
        <v>49</v>
      </c>
      <c r="J26" s="19">
        <f t="shared" si="2"/>
        <v>25</v>
      </c>
    </row>
    <row r="27" spans="1:10" ht="26.25" customHeight="1" x14ac:dyDescent="0.25">
      <c r="A27" s="20">
        <v>23</v>
      </c>
      <c r="B27" s="21" t="s">
        <v>57</v>
      </c>
      <c r="C27" s="22" t="s">
        <v>56</v>
      </c>
      <c r="D27" s="23">
        <v>26000</v>
      </c>
      <c r="E27" s="24">
        <v>1</v>
      </c>
      <c r="F27" s="25">
        <f t="shared" si="0"/>
        <v>26000</v>
      </c>
      <c r="G27" s="26">
        <f>'0. Pengaturan &amp; Rekap'!$B$5</f>
        <v>25</v>
      </c>
      <c r="H27" s="25">
        <f t="shared" si="1"/>
        <v>650000</v>
      </c>
      <c r="I27" s="27" t="s">
        <v>49</v>
      </c>
      <c r="J27" s="19">
        <f t="shared" si="2"/>
        <v>25</v>
      </c>
    </row>
    <row r="28" spans="1:10" ht="26.25" customHeight="1" x14ac:dyDescent="0.25">
      <c r="A28" s="12">
        <v>24</v>
      </c>
      <c r="B28" s="13" t="s">
        <v>58</v>
      </c>
      <c r="C28" s="14" t="s">
        <v>59</v>
      </c>
      <c r="D28" s="15">
        <v>55790</v>
      </c>
      <c r="E28" s="16">
        <v>1</v>
      </c>
      <c r="F28" s="8">
        <f t="shared" si="0"/>
        <v>55790</v>
      </c>
      <c r="G28" s="17">
        <f>'0. Pengaturan &amp; Rekap'!$B$5</f>
        <v>25</v>
      </c>
      <c r="H28" s="8">
        <f t="shared" si="1"/>
        <v>1394750</v>
      </c>
      <c r="I28" s="31" t="s">
        <v>60</v>
      </c>
      <c r="J28" s="19">
        <f t="shared" si="2"/>
        <v>25</v>
      </c>
    </row>
    <row r="29" spans="1:10" ht="26.25" customHeight="1" x14ac:dyDescent="0.25">
      <c r="A29" s="12">
        <v>25</v>
      </c>
      <c r="B29" s="13" t="s">
        <v>61</v>
      </c>
      <c r="C29" s="14" t="s">
        <v>62</v>
      </c>
      <c r="D29" s="15">
        <v>6000</v>
      </c>
      <c r="E29" s="16">
        <v>0.5</v>
      </c>
      <c r="F29" s="8">
        <f>H29/G29</f>
        <v>3120</v>
      </c>
      <c r="G29" s="17">
        <f>'0. Pengaturan &amp; Rekap'!$B$5</f>
        <v>25</v>
      </c>
      <c r="H29" s="8">
        <f>J29*D29</f>
        <v>78000</v>
      </c>
      <c r="I29" s="28" t="s">
        <v>36</v>
      </c>
      <c r="J29" s="19">
        <f>CEILING(E29*G29/1,1)</f>
        <v>13</v>
      </c>
    </row>
    <row r="30" spans="1:10" ht="26.25" x14ac:dyDescent="0.25">
      <c r="A30" s="12">
        <v>26</v>
      </c>
      <c r="B30" s="13" t="s">
        <v>63</v>
      </c>
      <c r="C30" s="14" t="s">
        <v>64</v>
      </c>
      <c r="D30" s="15">
        <v>21000</v>
      </c>
      <c r="E30" s="16">
        <v>15</v>
      </c>
      <c r="F30" s="8">
        <f>H30/G30</f>
        <v>3360</v>
      </c>
      <c r="G30" s="17">
        <f>'0. Pengaturan &amp; Rekap'!$B$5</f>
        <v>25</v>
      </c>
      <c r="H30" s="8">
        <f>J30*D30</f>
        <v>84000</v>
      </c>
      <c r="I30" s="28" t="s">
        <v>65</v>
      </c>
      <c r="J30" s="19">
        <f>CEILING(E30*G30/100,1)</f>
        <v>4</v>
      </c>
    </row>
    <row r="31" spans="1:10" ht="26.25" x14ac:dyDescent="0.25">
      <c r="A31" s="12">
        <v>27</v>
      </c>
      <c r="B31" s="13" t="s">
        <v>66</v>
      </c>
      <c r="C31" s="14" t="s">
        <v>67</v>
      </c>
      <c r="D31" s="15">
        <v>27000</v>
      </c>
      <c r="E31" s="16">
        <v>15</v>
      </c>
      <c r="F31" s="8">
        <f>H31/G31</f>
        <v>1080</v>
      </c>
      <c r="G31" s="17">
        <f>'0. Pengaturan &amp; Rekap'!$B$5</f>
        <v>25</v>
      </c>
      <c r="H31" s="8">
        <f>J31*D31</f>
        <v>27000</v>
      </c>
      <c r="I31" s="28" t="s">
        <v>49</v>
      </c>
      <c r="J31" s="19">
        <f>CEILING(E31*G31/600,1)</f>
        <v>1</v>
      </c>
    </row>
    <row r="32" spans="1:10" ht="30" customHeight="1" x14ac:dyDescent="0.25">
      <c r="A32" s="12">
        <v>28</v>
      </c>
      <c r="B32" s="13" t="s">
        <v>68</v>
      </c>
      <c r="C32" s="14" t="s">
        <v>69</v>
      </c>
      <c r="D32" s="15">
        <v>14000</v>
      </c>
      <c r="E32" s="16">
        <v>1</v>
      </c>
      <c r="F32" s="8">
        <f>D32*E32</f>
        <v>14000</v>
      </c>
      <c r="G32" s="17">
        <f>'0. Pengaturan &amp; Rekap'!$B$5</f>
        <v>25</v>
      </c>
      <c r="H32" s="8">
        <f>F32*G32</f>
        <v>350000</v>
      </c>
      <c r="I32" s="28" t="s">
        <v>70</v>
      </c>
      <c r="J32" s="19">
        <f>G32*E32</f>
        <v>25</v>
      </c>
    </row>
    <row r="33" spans="1:10" ht="26.25" x14ac:dyDescent="0.25">
      <c r="A33" s="12">
        <v>29</v>
      </c>
      <c r="B33" s="13" t="s">
        <v>71</v>
      </c>
      <c r="C33" s="14" t="s">
        <v>69</v>
      </c>
      <c r="D33" s="15">
        <v>12000</v>
      </c>
      <c r="E33" s="16">
        <v>1</v>
      </c>
      <c r="F33" s="8">
        <f>D33*E33</f>
        <v>12000</v>
      </c>
      <c r="G33" s="17">
        <f>'0. Pengaturan &amp; Rekap'!$B$5</f>
        <v>25</v>
      </c>
      <c r="H33" s="8">
        <f>F33*G33</f>
        <v>300000</v>
      </c>
      <c r="I33" s="28" t="s">
        <v>70</v>
      </c>
      <c r="J33" s="19">
        <f>G33*E33</f>
        <v>25</v>
      </c>
    </row>
    <row r="34" spans="1:10" ht="26.25" x14ac:dyDescent="0.25">
      <c r="A34" s="12">
        <v>30</v>
      </c>
      <c r="B34" s="13" t="s">
        <v>72</v>
      </c>
      <c r="C34" s="14" t="s">
        <v>69</v>
      </c>
      <c r="D34" s="15">
        <v>13000</v>
      </c>
      <c r="E34" s="16">
        <v>1</v>
      </c>
      <c r="F34" s="8">
        <f>D34*E34</f>
        <v>13000</v>
      </c>
      <c r="G34" s="17">
        <f>'0. Pengaturan &amp; Rekap'!$B$5</f>
        <v>25</v>
      </c>
      <c r="H34" s="8">
        <f>F34*G34</f>
        <v>325000</v>
      </c>
      <c r="I34" s="28" t="s">
        <v>70</v>
      </c>
      <c r="J34" s="19">
        <f>G34*E34</f>
        <v>25</v>
      </c>
    </row>
    <row r="35" spans="1:10" ht="26.25" x14ac:dyDescent="0.25">
      <c r="A35" s="12">
        <v>31</v>
      </c>
      <c r="B35" s="13" t="s">
        <v>73</v>
      </c>
      <c r="C35" s="14" t="s">
        <v>74</v>
      </c>
      <c r="D35" s="15">
        <v>42500</v>
      </c>
      <c r="E35" s="16">
        <v>0.2</v>
      </c>
      <c r="F35" s="8">
        <f>H35/G35</f>
        <v>8500</v>
      </c>
      <c r="G35" s="17">
        <f>'0. Pengaturan &amp; Rekap'!$B$5</f>
        <v>25</v>
      </c>
      <c r="H35" s="8">
        <f>J35*D35</f>
        <v>212500</v>
      </c>
      <c r="I35" s="28" t="s">
        <v>36</v>
      </c>
      <c r="J35" s="19">
        <f>CEILING(E35*G35/1,1)</f>
        <v>5</v>
      </c>
    </row>
    <row r="36" spans="1:10" ht="26.25" x14ac:dyDescent="0.25">
      <c r="A36" s="12">
        <v>32</v>
      </c>
      <c r="B36" s="13" t="s">
        <v>75</v>
      </c>
      <c r="C36" s="14" t="s">
        <v>74</v>
      </c>
      <c r="D36" s="15">
        <v>32000</v>
      </c>
      <c r="E36" s="16">
        <v>0.2</v>
      </c>
      <c r="F36" s="8">
        <f>H36/G36</f>
        <v>6400</v>
      </c>
      <c r="G36" s="17">
        <f>'0. Pengaturan &amp; Rekap'!$B$5</f>
        <v>25</v>
      </c>
      <c r="H36" s="8">
        <f>J36*D36</f>
        <v>160000</v>
      </c>
      <c r="I36" s="28" t="s">
        <v>36</v>
      </c>
      <c r="J36" s="19">
        <f>CEILING(E36*G36/1,1)</f>
        <v>5</v>
      </c>
    </row>
    <row r="37" spans="1:10" x14ac:dyDescent="0.25">
      <c r="A37" s="35" t="s">
        <v>76</v>
      </c>
      <c r="B37" s="35"/>
      <c r="C37" s="35"/>
      <c r="D37" s="35"/>
      <c r="E37" s="35"/>
      <c r="F37" s="29">
        <f>SUM(F5:F36)</f>
        <v>497086</v>
      </c>
      <c r="G37" s="30"/>
      <c r="H37" s="29">
        <f>SUM(H5:H36)</f>
        <v>12427150</v>
      </c>
      <c r="I37" s="30"/>
    </row>
    <row r="39" spans="1:10" x14ac:dyDescent="0.25">
      <c r="A39" s="34"/>
      <c r="B39" s="34"/>
      <c r="C39" s="34"/>
      <c r="D39" s="34"/>
      <c r="E39" s="34"/>
      <c r="F39" s="34"/>
      <c r="G39" s="34"/>
      <c r="H39" s="34"/>
      <c r="I39" s="34"/>
    </row>
  </sheetData>
  <mergeCells count="3">
    <mergeCell ref="A1:I1"/>
    <mergeCell ref="A37:E37"/>
    <mergeCell ref="A39:I39"/>
  </mergeCells>
  <hyperlinks>
    <hyperlink ref="I5" r:id="rId1" xr:uid="{00000000-0004-0000-0100-000000000000}"/>
    <hyperlink ref="I6" r:id="rId2" xr:uid="{00000000-0004-0000-0100-000001000000}"/>
    <hyperlink ref="I7" r:id="rId3" xr:uid="{00000000-0004-0000-0100-000002000000}"/>
    <hyperlink ref="I8" r:id="rId4" xr:uid="{00000000-0004-0000-0100-000003000000}"/>
    <hyperlink ref="I9" r:id="rId5" xr:uid="{00000000-0004-0000-0100-000004000000}"/>
    <hyperlink ref="I10" r:id="rId6" xr:uid="{00000000-0004-0000-0100-000005000000}"/>
    <hyperlink ref="I11" r:id="rId7" xr:uid="{00000000-0004-0000-0100-000006000000}"/>
    <hyperlink ref="I12" r:id="rId8" xr:uid="{00000000-0004-0000-0100-000007000000}"/>
    <hyperlink ref="I13" r:id="rId9" xr:uid="{00000000-0004-0000-0100-000008000000}"/>
    <hyperlink ref="I14" r:id="rId10" xr:uid="{00000000-0004-0000-0100-000009000000}"/>
    <hyperlink ref="I15" r:id="rId11" xr:uid="{00000000-0004-0000-0100-00000A000000}"/>
    <hyperlink ref="I16" r:id="rId12" xr:uid="{00000000-0004-0000-0100-00000B000000}"/>
    <hyperlink ref="I17" r:id="rId13" xr:uid="{00000000-0004-0000-0100-00000C000000}"/>
    <hyperlink ref="I18" r:id="rId14" xr:uid="{00000000-0004-0000-0100-00000D000000}"/>
    <hyperlink ref="I19" r:id="rId15" xr:uid="{00000000-0004-0000-0100-00000E000000}"/>
    <hyperlink ref="I20" r:id="rId16" xr:uid="{00000000-0004-0000-0100-00000F000000}"/>
    <hyperlink ref="I21" r:id="rId17" xr:uid="{00000000-0004-0000-0100-000010000000}"/>
    <hyperlink ref="I22" r:id="rId18" xr:uid="{00000000-0004-0000-0100-000011000000}"/>
    <hyperlink ref="I23" r:id="rId19" xr:uid="{00000000-0004-0000-0100-000012000000}"/>
    <hyperlink ref="I24" r:id="rId20" xr:uid="{00000000-0004-0000-0100-000013000000}"/>
    <hyperlink ref="I25" r:id="rId21" xr:uid="{00000000-0004-0000-0100-000014000000}"/>
    <hyperlink ref="I26" r:id="rId22" xr:uid="{00000000-0004-0000-0100-000015000000}"/>
    <hyperlink ref="I27" r:id="rId23" xr:uid="{00000000-0004-0000-0100-000016000000}"/>
    <hyperlink ref="I29" r:id="rId24" xr:uid="{00000000-0004-0000-0100-000017000000}"/>
    <hyperlink ref="I30" r:id="rId25" xr:uid="{00000000-0004-0000-0100-000018000000}"/>
    <hyperlink ref="I31" r:id="rId26" xr:uid="{00000000-0004-0000-0100-000019000000}"/>
    <hyperlink ref="I32" r:id="rId27" xr:uid="{00000000-0004-0000-0100-00001A000000}"/>
    <hyperlink ref="I33" r:id="rId28" xr:uid="{00000000-0004-0000-0100-00001B000000}"/>
    <hyperlink ref="I34" r:id="rId29" xr:uid="{00000000-0004-0000-0100-00001C000000}"/>
    <hyperlink ref="I35" r:id="rId30" xr:uid="{00000000-0004-0000-0100-00001D000000}"/>
    <hyperlink ref="I36" r:id="rId31" xr:uid="{00000000-0004-0000-0100-00001E000000}"/>
    <hyperlink ref="I28" r:id="rId32" xr:uid="{732ADCEC-C330-42DF-B0BC-B41DF2EE70B4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0. Pengaturan &amp; Rekap</vt:lpstr>
      <vt:lpstr>1. Item Yang Dibeli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Eka Meravigliosi</cp:lastModifiedBy>
  <cp:revision>0</cp:revision>
  <dcterms:created xsi:type="dcterms:W3CDTF">2026-07-28T13:03:13Z</dcterms:created>
  <dcterms:modified xsi:type="dcterms:W3CDTF">2026-08-18T03:03:45Z</dcterms:modified>
  <dc:language>en-US</dc:language>
</cp:coreProperties>
</file>